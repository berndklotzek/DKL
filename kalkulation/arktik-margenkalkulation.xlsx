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Annahmen" sheetId="2" state="visible" r:id="rId2"/>
    <sheet name="Kalkulation" sheetId="3" state="visible" r:id="rId3"/>
    <sheet name="Container" sheetId="4" state="visible" r:id="rId4"/>
    <sheet name="Marktpreise" sheetId="5" state="visible" r:id="rId5"/>
  </sheets>
  <definedNames/>
  <calcPr calcId="124519" fullCalcOnLoad="1"/>
</workbook>
</file>

<file path=xl/styles.xml><?xml version="1.0" encoding="utf-8"?>
<styleSheet xmlns="http://schemas.openxmlformats.org/spreadsheetml/2006/main">
  <numFmts count="6">
    <numFmt numFmtId="164" formatCode="0.000"/>
    <numFmt numFmtId="165" formatCode="#,##0 &quot;€&quot;;(#,##0 &quot;€&quot;);-"/>
    <numFmt numFmtId="166" formatCode="0.0%"/>
    <numFmt numFmtId="167" formatCode="#,##0.00 &quot;€&quot;;(#,##0.00 &quot;€&quot;);-"/>
    <numFmt numFmtId="168" formatCode="#,##0.00 &quot;$&quot;;(#,##0.00 &quot;$&quot;);-"/>
    <numFmt numFmtId="169" formatCode="0.00&quot;×&quot;"/>
  </numFmts>
  <fonts count="12">
    <font>
      <name val="Calibri"/>
      <family val="2"/>
      <color theme="1"/>
      <sz val="11"/>
      <scheme val="minor"/>
    </font>
    <font>
      <name val="Arial"/>
      <b val="1"/>
      <color rgb="000C1A26"/>
      <sz val="14"/>
    </font>
    <font>
      <name val="Arial"/>
      <i val="1"/>
      <color rgb="005D6D7A"/>
      <sz val="10"/>
    </font>
    <font>
      <name val="Arial"/>
      <sz val="10"/>
    </font>
    <font>
      <name val="Arial"/>
      <b val="1"/>
      <color rgb="000B6FA8"/>
      <sz val="11"/>
    </font>
    <font>
      <name val="Arial"/>
      <b val="1"/>
      <color rgb="00FFFFFF"/>
      <sz val="10"/>
    </font>
    <font>
      <name val="Arial"/>
      <color rgb="000000FF"/>
      <sz val="10"/>
    </font>
    <font>
      <name val="Arial"/>
      <b val="1"/>
      <sz val="10"/>
    </font>
    <font>
      <name val="Arial"/>
      <b val="1"/>
      <color rgb="000B6FA8"/>
      <sz val="10"/>
    </font>
    <font>
      <name val="Arial"/>
      <b val="1"/>
      <color rgb="000000FF"/>
      <sz val="10"/>
    </font>
    <font>
      <name val="Arial"/>
      <color rgb="00008000"/>
      <sz val="10"/>
    </font>
    <font>
      <name val="Arial"/>
      <b val="1"/>
      <color rgb="00A8630B"/>
      <sz val="11"/>
    </font>
  </fonts>
  <fills count="6">
    <fill>
      <patternFill/>
    </fill>
    <fill>
      <patternFill patternType="gray125"/>
    </fill>
    <fill>
      <patternFill patternType="solid">
        <fgColor rgb="000B6FA8"/>
      </patternFill>
    </fill>
    <fill>
      <patternFill patternType="solid">
        <fgColor rgb="00FFFF00"/>
      </patternFill>
    </fill>
    <fill>
      <patternFill patternType="solid">
        <fgColor rgb="00F4F8FB"/>
      </patternFill>
    </fill>
    <fill>
      <patternFill patternType="solid">
        <fgColor rgb="00E3F4ED"/>
      </patternFill>
    </fill>
  </fills>
  <borders count="2">
    <border>
      <left/>
      <right/>
      <top/>
      <bottom/>
      <diagonal/>
    </border>
    <border>
      <bottom style="thin">
        <color rgb="00C9D8E6"/>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left"/>
    </xf>
    <xf numFmtId="0" fontId="3" fillId="0" borderId="1" pivotButton="0" quotePrefix="0" xfId="0"/>
    <xf numFmtId="164" fontId="6" fillId="3" borderId="1" pivotButton="0" quotePrefix="0" xfId="0"/>
    <xf numFmtId="0" fontId="2" fillId="0" borderId="1" pivotButton="0" quotePrefix="0" xfId="0"/>
    <xf numFmtId="165" fontId="6" fillId="0" borderId="1" pivotButton="0" quotePrefix="0" xfId="0"/>
    <xf numFmtId="166" fontId="6" fillId="0" borderId="1" pivotButton="0" quotePrefix="0" xfId="0"/>
    <xf numFmtId="167" fontId="6" fillId="0" borderId="1" pivotButton="0" quotePrefix="0" xfId="0"/>
    <xf numFmtId="0" fontId="7" fillId="0" borderId="0" pivotButton="0" quotePrefix="0" xfId="0"/>
    <xf numFmtId="0" fontId="2" fillId="0" borderId="0" applyAlignment="1" pivotButton="0" quotePrefix="0" xfId="0">
      <alignment vertical="top" wrapText="1"/>
    </xf>
    <xf numFmtId="0" fontId="5" fillId="2" borderId="0" pivotButton="0" quotePrefix="0" xfId="0"/>
    <xf numFmtId="0" fontId="5" fillId="2" borderId="0" applyAlignment="1" pivotButton="0" quotePrefix="0" xfId="0">
      <alignment horizontal="center" wrapText="1"/>
    </xf>
    <xf numFmtId="0" fontId="8" fillId="0" borderId="0" pivotButton="0" quotePrefix="0" xfId="0"/>
    <xf numFmtId="168" fontId="6" fillId="0" borderId="1" pivotButton="0" quotePrefix="0" xfId="0"/>
    <xf numFmtId="3" fontId="6" fillId="0" borderId="1" pivotButton="0" quotePrefix="0" xfId="0"/>
    <xf numFmtId="167" fontId="3" fillId="0" borderId="1" pivotButton="0" quotePrefix="0" xfId="0"/>
    <xf numFmtId="0" fontId="7" fillId="4" borderId="1" pivotButton="0" quotePrefix="0" xfId="0"/>
    <xf numFmtId="167" fontId="7" fillId="4" borderId="1" pivotButton="0" quotePrefix="0" xfId="0"/>
    <xf numFmtId="165" fontId="9" fillId="0" borderId="1" pivotButton="0" quotePrefix="0" xfId="0"/>
    <xf numFmtId="166" fontId="3" fillId="0" borderId="1" pivotButton="0" quotePrefix="0" xfId="0"/>
    <xf numFmtId="167" fontId="10" fillId="0" borderId="1" pivotButton="0" quotePrefix="0" xfId="0"/>
    <xf numFmtId="0" fontId="7" fillId="5" borderId="1" pivotButton="0" quotePrefix="0" xfId="0"/>
    <xf numFmtId="167" fontId="7" fillId="5" borderId="1" pivotButton="0" quotePrefix="0" xfId="0"/>
    <xf numFmtId="0" fontId="7" fillId="0" borderId="1" pivotButton="0" quotePrefix="0" xfId="0"/>
    <xf numFmtId="166" fontId="7" fillId="0" borderId="1" pivotButton="0" quotePrefix="0" xfId="0"/>
    <xf numFmtId="169" fontId="3" fillId="0" borderId="1" pivotButton="0" quotePrefix="0" xfId="0"/>
    <xf numFmtId="165" fontId="3" fillId="0" borderId="1" pivotButton="0" quotePrefix="0" xfId="0"/>
    <xf numFmtId="1" fontId="6" fillId="3" borderId="0" pivotButton="0" quotePrefix="0" xfId="0"/>
    <xf numFmtId="3" fontId="3" fillId="0" borderId="1" pivotButton="0" quotePrefix="0" xfId="0"/>
    <xf numFmtId="165" fontId="7" fillId="4" borderId="1" pivotButton="0" quotePrefix="0" xfId="0"/>
    <xf numFmtId="165" fontId="7" fillId="5" borderId="1" pivotButton="0" quotePrefix="0" xfId="0"/>
    <xf numFmtId="3" fontId="7" fillId="0" borderId="1" pivotButton="0" quotePrefix="0" xfId="0"/>
    <xf numFmtId="166" fontId="7" fillId="5" borderId="1" pivotButton="0" quotePrefix="0" xfId="0"/>
    <xf numFmtId="165" fontId="7" fillId="0" borderId="1" pivotButton="0" quotePrefix="0" xfId="0"/>
    <xf numFmtId="0" fontId="11"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Kalkulation</author>
  </authors>
  <commentList>
    <comment ref="C6" authorId="0" shapeId="0">
      <text>
        <t>Kurs vom Tag der Bestellung eintragen. Bei 300 Geräten verschiebt ein Kursunterschied von 5 % rund 2.500 € Einkaufswert.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38"/>
  <sheetViews>
    <sheetView showGridLines="0" workbookViewId="0">
      <selection activeCell="A1" sqref="A1"/>
    </sheetView>
  </sheetViews>
  <sheetFormatPr baseColWidth="8" defaultRowHeight="15"/>
  <cols>
    <col width="3" customWidth="1" min="1" max="1"/>
    <col width="104" customWidth="1" min="2" max="2"/>
  </cols>
  <sheetData>
    <row r="2">
      <c r="B2" s="1" t="inlineStr">
        <is>
          <t>ARKTIK Klimasysteme — Margenkalkulation</t>
        </is>
      </c>
    </row>
    <row r="3">
      <c r="B3" s="2" t="inlineStr">
        <is>
          <t>Erstellt am 31.08.2026. Alle Zahlen sind Annahmen und müssen durch echte Angebote ersetzt werden.</t>
        </is>
      </c>
    </row>
    <row r="4">
      <c r="B4" s="3" t="inlineStr"/>
    </row>
    <row r="5">
      <c r="B5" s="4" t="inlineStr">
        <is>
          <t>So benutzen Sie diese Mappe</t>
        </is>
      </c>
    </row>
    <row r="6">
      <c r="B6" s="3" t="inlineStr">
        <is>
          <t>Alles, was BLAU geschrieben ist, dürfen und sollen Sie ändern. Schwarze Zellen sind Formeln —</t>
        </is>
      </c>
    </row>
    <row r="7">
      <c r="B7" s="3" t="inlineStr">
        <is>
          <t>wenn Sie die überschreiben, rechnet die Mappe falsch.</t>
        </is>
      </c>
    </row>
    <row r="8">
      <c r="B8" s="3" t="inlineStr">
        <is>
          <t>GELB hinterlegte Zellen sind Annahmen, die Sie zuerst prüfen sollten. Vor allem der Wechselkurs.</t>
        </is>
      </c>
    </row>
    <row r="9">
      <c r="B9" s="3" t="inlineStr"/>
    </row>
    <row r="10">
      <c r="B10" s="4" t="inlineStr">
        <is>
          <t>Die vier Blätter</t>
        </is>
      </c>
    </row>
    <row r="11">
      <c r="B11" s="3" t="inlineStr">
        <is>
          <t>Annahmen      Alles, was für alle Geräte gleich gilt: Wechselkurs, Fracht, Zoll, Gebühren, Retouren.</t>
        </is>
      </c>
    </row>
    <row r="12">
      <c r="B12" s="3" t="inlineStr">
        <is>
          <t>Kalkulation   Einkaufspreis, Landepreis und Deckungsbeitrag je Gerät. Das Kernstück.</t>
        </is>
      </c>
    </row>
    <row r="13">
      <c r="B13" s="3" t="inlineStr">
        <is>
          <t>Container     Was eine Erstbestellung kostet und ab welcher Verkaufsquote sie sich lohnt.</t>
        </is>
      </c>
    </row>
    <row r="14">
      <c r="B14" s="3" t="inlineStr">
        <is>
          <t>Marktpreise   Was Wettbewerber in Deutschland verlangen. Recherchiert, mit Quelle.</t>
        </is>
      </c>
    </row>
    <row r="15">
      <c r="B15" s="3" t="inlineStr"/>
    </row>
    <row r="16">
      <c r="B16" s="4" t="inlineStr">
        <is>
          <t>Die drei Begriffe, um die es geht</t>
        </is>
      </c>
    </row>
    <row r="17">
      <c r="B17" s="3" t="inlineStr">
        <is>
          <t>Einkaufspreis (FOB)   Was die Fabrik verlangt, geliefert bis zum Hafen in China. Ohne Fracht,</t>
        </is>
      </c>
    </row>
    <row r="18">
      <c r="B18" s="3" t="inlineStr">
        <is>
          <t xml:space="preserve">                      ohne Zoll, ohne alles Weitere.</t>
        </is>
      </c>
    </row>
    <row r="19">
      <c r="B19" s="3" t="inlineStr">
        <is>
          <t>Landepreis            Was das Gerät kostet, wenn es bei Ihnen im Lager steht. FOB plus Fracht,</t>
        </is>
      </c>
    </row>
    <row r="20">
      <c r="B20" s="3" t="inlineStr">
        <is>
          <t xml:space="preserve">                      Zoll, Entsorgungsgebühren und anteilige Zertifizierungskosten.</t>
        </is>
      </c>
    </row>
    <row r="21">
      <c r="B21" s="3" t="inlineStr">
        <is>
          <t xml:space="preserve">                      Das ist Ihr echter Einkaufspreis — nicht der FOB-Preis.</t>
        </is>
      </c>
    </row>
    <row r="22">
      <c r="B22" s="3" t="inlineStr">
        <is>
          <t>Deckungsbeitrag       Was nach Abzug ALLER variablen Kosten übrig bleibt. Davon bezahlen Sie</t>
        </is>
      </c>
    </row>
    <row r="23">
      <c r="B23" s="3" t="inlineStr">
        <is>
          <t xml:space="preserve">                      Lager, Werbung, Versicherung, Steuern und sich selbst.</t>
        </is>
      </c>
    </row>
    <row r="24">
      <c r="B24" s="3" t="inlineStr"/>
    </row>
    <row r="25">
      <c r="B25" s="4" t="inlineStr">
        <is>
          <t>Der häufigste Anfängerfehler</t>
        </is>
      </c>
    </row>
    <row r="26">
      <c r="B26" s="3" t="inlineStr">
        <is>
          <t>„Ich kaufe für 165 € ein und verkaufe für 649 €, also verdiene ich 484 €.“ Falsch.</t>
        </is>
      </c>
    </row>
    <row r="27">
      <c r="B27" s="3" t="inlineStr">
        <is>
          <t>Von den 649 € gehen zuerst 104 € Mehrwertsteuer ab. Dann Zahlungsgebühr, Versand, den Sie ab</t>
        </is>
      </c>
    </row>
    <row r="28">
      <c r="B28" s="3" t="inlineStr">
        <is>
          <t>499 € geschenkt haben, eine Rückstellung für Retouren und eine für Gewährleistungsfälle.</t>
        </is>
      </c>
    </row>
    <row r="29">
      <c r="B29" s="3" t="inlineStr">
        <is>
          <t>Was übrig bleibt, steht auf dem Blatt „Kalkulation“ in der Zeile Deckungsbeitrag.</t>
        </is>
      </c>
    </row>
    <row r="30">
      <c r="B30" s="3" t="inlineStr"/>
    </row>
    <row r="31">
      <c r="B31" s="4" t="inlineStr">
        <is>
          <t>Beim ersten Öffnen</t>
        </is>
      </c>
    </row>
    <row r="32">
      <c r="B32" s="3" t="inlineStr">
        <is>
          <t>Excel und LibreOffice berechnen die Mappe beim Öffnen. Sollte eine Vorschau-App leere</t>
        </is>
      </c>
    </row>
    <row r="33">
      <c r="B33" s="3" t="inlineStr">
        <is>
          <t>Zellen zeigen, öffnen Sie die Datei in Excel oder LibreOffice — dann stehen die Zahlen da.</t>
        </is>
      </c>
    </row>
    <row r="34">
      <c r="B34" s="3" t="inlineStr"/>
    </row>
    <row r="35">
      <c r="B35" s="4" t="inlineStr">
        <is>
          <t>Woher die Zahlen stammen</t>
        </is>
      </c>
    </row>
    <row r="36">
      <c r="B36" s="3" t="inlineStr">
        <is>
          <t>Verkaufspreise der Wettbewerber und FOB-Spannen sind recherchiert (Blatt „Marktpreise“).</t>
        </is>
      </c>
    </row>
    <row r="37">
      <c r="B37" s="3" t="inlineStr">
        <is>
          <t>Fracht, Zoll, Gebühren und Quoten sind branchenübliche Erfahrungswerte, keine Angebote.</t>
        </is>
      </c>
    </row>
    <row r="38">
      <c r="B38" s="3" t="inlineStr">
        <is>
          <t>Sobald das erste Angebot aus China vorliegt, tragen Sie den echten FOB-Preis 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6"/>
  <sheetViews>
    <sheetView showGridLines="0" workbookViewId="0">
      <selection activeCell="A1" sqref="A1"/>
    </sheetView>
  </sheetViews>
  <sheetFormatPr baseColWidth="8" defaultRowHeight="15"/>
  <cols>
    <col width="3" customWidth="1" min="1" max="1"/>
    <col width="46" customWidth="1" min="2" max="2"/>
    <col width="14" customWidth="1" min="3" max="3"/>
    <col width="58" customWidth="1" min="4" max="4"/>
  </cols>
  <sheetData>
    <row r="2">
      <c r="B2" s="1" t="inlineStr">
        <is>
          <t>Annahmen</t>
        </is>
      </c>
    </row>
    <row r="3">
      <c r="B3" s="2" t="inlineStr">
        <is>
          <t>Blau = ändern Sie hier. Gelb = zuerst prüfen.</t>
        </is>
      </c>
    </row>
    <row r="5">
      <c r="B5" s="5" t="inlineStr">
        <is>
          <t>Einkauf und Import</t>
        </is>
      </c>
      <c r="C5" s="5" t="inlineStr">
        <is>
          <t>Wert</t>
        </is>
      </c>
      <c r="D5" s="5" t="inlineStr">
        <is>
          <t>Erläuterung</t>
        </is>
      </c>
    </row>
    <row r="6">
      <c r="B6" s="6" t="inlineStr">
        <is>
          <t>Wechselkurs (EUR je USD)</t>
        </is>
      </c>
      <c r="C6" s="7" t="n">
        <v>0.92</v>
      </c>
      <c r="D6" s="8" t="inlineStr">
        <is>
          <t>BITTE PRÜFEN — Tageskurs eintragen. Ändert alle Einkaufspreise.</t>
        </is>
      </c>
    </row>
    <row r="7">
      <c r="B7" s="6" t="inlineStr">
        <is>
          <t>Seefracht je 40-Fuß-Container (EUR)</t>
        </is>
      </c>
      <c r="C7" s="9" t="n">
        <v>3200</v>
      </c>
      <c r="D7" s="8" t="inlineStr">
        <is>
          <t>China–Nordeuropa. Schwankt stark, 2.500 bis 4.500 € sind üblich.</t>
        </is>
      </c>
    </row>
    <row r="8">
      <c r="B8" s="6" t="inlineStr">
        <is>
          <t>Zollsatz auf Klimageräte</t>
        </is>
      </c>
      <c r="C8" s="10" t="n">
        <v>0.022</v>
      </c>
      <c r="D8" s="8" t="inlineStr">
        <is>
          <t>Position 8415. Berechnungsgrundlage ist Warenwert plus Fracht.</t>
        </is>
      </c>
    </row>
    <row r="9">
      <c r="B9" s="6" t="inlineStr">
        <is>
          <t>Entsorgungs- und Verpackungsgebühren je Gerät (EUR)</t>
        </is>
      </c>
      <c r="C9" s="11" t="n">
        <v>3</v>
      </c>
      <c r="D9" s="8" t="inlineStr">
        <is>
          <t>WEEE-Beteiligung, duales System, Batteriegesetz.</t>
        </is>
      </c>
    </row>
    <row r="10">
      <c r="B10" s="6" t="inlineStr">
        <is>
          <t>Einmalkosten je Modell (EUR)</t>
        </is>
      </c>
      <c r="C10" s="9" t="n">
        <v>6000</v>
      </c>
      <c r="D10" s="8" t="inlineStr">
        <is>
          <t>Prüfberichte, EPREL, Übersetzung der Anleitung, Fabrikaudit, Muster.</t>
        </is>
      </c>
    </row>
    <row r="12">
      <c r="B12" s="5" t="inlineStr">
        <is>
          <t>Verkauf</t>
        </is>
      </c>
      <c r="C12" s="5" t="inlineStr">
        <is>
          <t>Wert</t>
        </is>
      </c>
      <c r="D12" s="5" t="inlineStr">
        <is>
          <t>Erläuterung</t>
        </is>
      </c>
    </row>
    <row r="13">
      <c r="B13" s="6" t="inlineStr">
        <is>
          <t>Mehrwertsteuer</t>
        </is>
      </c>
      <c r="C13" s="10" t="n">
        <v>0.19</v>
      </c>
      <c r="D13" s="8" t="inlineStr">
        <is>
          <t>Regelbesteuerung.</t>
        </is>
      </c>
    </row>
    <row r="14">
      <c r="B14" s="6" t="inlineStr">
        <is>
          <t>Zahlungsgebühr (vom Bruttoumsatz)</t>
        </is>
      </c>
      <c r="C14" s="10" t="n">
        <v>0.02</v>
      </c>
      <c r="D14" s="8" t="inlineStr">
        <is>
          <t>Karte über Stripe ca. 1,5 %, PayPal und Klarna deutlich mehr. Mischsatz.</t>
        </is>
      </c>
    </row>
    <row r="15">
      <c r="B15" s="6" t="inlineStr">
        <is>
          <t>Versandkosten je Sendung, die Sie tragen (EUR)</t>
        </is>
      </c>
      <c r="C15" s="11" t="n">
        <v>32</v>
      </c>
      <c r="D15" s="8" t="inlineStr">
        <is>
          <t>Spedition innerhalb Deutschlands. Fällt an, wenn Sie versandkostenfrei liefern.</t>
        </is>
      </c>
    </row>
    <row r="16">
      <c r="B16" s="6" t="inlineStr">
        <is>
          <t>Schwelle für versandkostenfreie Lieferung (EUR)</t>
        </is>
      </c>
      <c r="C16" s="9" t="n">
        <v>499</v>
      </c>
      <c r="D16" s="8" t="inlineStr">
        <is>
          <t>Steht so auf der Website und in stripe/catalog.json.</t>
        </is>
      </c>
    </row>
    <row r="18">
      <c r="B18" s="5" t="inlineStr">
        <is>
          <t>Risiken</t>
        </is>
      </c>
      <c r="C18" s="5" t="inlineStr">
        <is>
          <t>Wert</t>
        </is>
      </c>
      <c r="D18" s="5" t="inlineStr">
        <is>
          <t>Erläuterung</t>
        </is>
      </c>
    </row>
    <row r="19">
      <c r="B19" s="6" t="inlineStr">
        <is>
          <t>Retourenquote</t>
        </is>
      </c>
      <c r="C19" s="10" t="n">
        <v>0.05</v>
      </c>
      <c r="D19" s="8" t="inlineStr">
        <is>
          <t>Fernabsatz mit 14 Tagen Widerruf. 3 bis 6 % sind bei Weißware normal.</t>
        </is>
      </c>
    </row>
    <row r="20">
      <c r="B20" s="6" t="inlineStr">
        <is>
          <t>Wertverlust je Retoure (vom Landepreis)</t>
        </is>
      </c>
      <c r="C20" s="10" t="n">
        <v>0.4</v>
      </c>
      <c r="D20" s="8" t="inlineStr">
        <is>
          <t>Ein zurückgesendetes Gerät ist oft nur noch als B-Ware verkäuflich.</t>
        </is>
      </c>
    </row>
    <row r="21">
      <c r="B21" s="6" t="inlineStr">
        <is>
          <t>Rückstellung Gewährleistung (vom Nettoumsatz)</t>
        </is>
      </c>
      <c r="C21" s="10" t="n">
        <v>0.025</v>
      </c>
      <c r="D21" s="8" t="inlineStr">
        <is>
          <t>Zwei Jahre Gewährleistung. Fälle kommen meist im zweiten Sommer.</t>
        </is>
      </c>
    </row>
    <row r="23">
      <c r="B23" s="12" t="inlineStr">
        <is>
          <t>Hinweis</t>
        </is>
      </c>
    </row>
    <row r="24">
      <c r="B24" s="13" t="inlineStr">
        <is>
          <t>Die Einfuhrumsatzsteuer taucht hier bewusst nicht auf: Sie zahlen sie beim Import, holen sie aber als Vorsteuer zurück. Sie ist kein Kostenfaktor, sondern nur Liquidität — und steht deshalb auf dem Blatt „Container“.</t>
        </is>
      </c>
    </row>
    <row r="25"/>
    <row r="26"/>
  </sheetData>
  <mergeCells count="1">
    <mergeCell ref="B24:D26"/>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G38"/>
  <sheetViews>
    <sheetView showGridLines="0" workbookViewId="0">
      <selection activeCell="A1" sqref="A1"/>
    </sheetView>
  </sheetViews>
  <sheetFormatPr baseColWidth="8" defaultRowHeight="15"/>
  <cols>
    <col width="3" customWidth="1" min="1" max="1"/>
    <col width="44" customWidth="1" min="2" max="2"/>
    <col width="16" customWidth="1" min="3" max="3"/>
    <col width="16" customWidth="1" min="4" max="4"/>
    <col width="16" customWidth="1" min="5" max="5"/>
    <col width="16" customWidth="1" min="6" max="6"/>
    <col width="46" customWidth="1" min="7" max="7"/>
  </cols>
  <sheetData>
    <row r="2">
      <c r="B2" s="1" t="inlineStr">
        <is>
          <t>Kalkulation je Gerät</t>
        </is>
      </c>
    </row>
    <row r="3">
      <c r="B3" s="2" t="inlineStr">
        <is>
          <t>Links die Geräte ohne Montage, rechts die zur Selbstmontage mit Außengerät. Blaue Zellen ändern.</t>
        </is>
      </c>
    </row>
    <row r="5" ht="30" customHeight="1">
      <c r="B5" s="14" t="inlineStr">
        <is>
          <t>Ohne Montage  ·  Selbstmontage</t>
        </is>
      </c>
      <c r="C5" s="15" t="inlineStr">
        <is>
          <t>Zweikanal 9.000 BTU</t>
        </is>
      </c>
      <c r="D5" s="15" t="inlineStr">
        <is>
          <t>Zweikanal 12.000 BTU</t>
        </is>
      </c>
      <c r="E5" s="15" t="inlineStr">
        <is>
          <t>Quick-Connect 9.000 BTU</t>
        </is>
      </c>
      <c r="F5" s="15" t="inlineStr">
        <is>
          <t>Quick-Connect 12.000 BTU</t>
        </is>
      </c>
      <c r="G5" s="14" t="inlineStr">
        <is>
          <t>Erläuterung</t>
        </is>
      </c>
    </row>
    <row r="7">
      <c r="B7" s="16" t="inlineStr">
        <is>
          <t>EINKAUF</t>
        </is>
      </c>
    </row>
    <row r="8">
      <c r="B8" s="6" t="inlineStr">
        <is>
          <t>Einkaufspreis FOB je Gerät (USD)</t>
        </is>
      </c>
      <c r="C8" s="17" t="n">
        <v>150</v>
      </c>
      <c r="D8" s="17" t="n">
        <v>180</v>
      </c>
      <c r="E8" s="17" t="n">
        <v>175</v>
      </c>
      <c r="F8" s="17" t="n">
        <v>200</v>
      </c>
      <c r="G8" s="8" t="inlineStr">
        <is>
          <t>Angebot der Fabrik, geliefert bis Hafen China. Hier den echten Wert eintragen.</t>
        </is>
      </c>
    </row>
    <row r="9">
      <c r="B9" s="6" t="inlineStr">
        <is>
          <t>Stück je 40-Fuß-Container</t>
        </is>
      </c>
      <c r="C9" s="18" t="n">
        <v>320</v>
      </c>
      <c r="D9" s="18" t="n">
        <v>260</v>
      </c>
      <c r="E9" s="18" t="n">
        <v>200</v>
      </c>
      <c r="F9" s="18" t="n">
        <v>170</v>
      </c>
      <c r="G9" s="8" t="inlineStr">
        <is>
          <t>Fragen Sie den Lieferanten. Split-Sets brauchen mehr Platz als Mobilgeräte.</t>
        </is>
      </c>
    </row>
    <row r="10">
      <c r="B10" s="6" t="inlineStr">
        <is>
          <t>Einkaufspreis FOB je Gerät (EUR)</t>
        </is>
      </c>
      <c r="C10" s="19">
        <f>C8*Annahmen!$C$6</f>
        <v/>
      </c>
      <c r="D10" s="19">
        <f>D8*Annahmen!$C$6</f>
        <v/>
      </c>
      <c r="E10" s="19">
        <f>E8*Annahmen!$C$6</f>
        <v/>
      </c>
      <c r="F10" s="19">
        <f>F8*Annahmen!$C$6</f>
        <v/>
      </c>
      <c r="G10" s="8" t="inlineStr">
        <is>
          <t>FOB in Euro, zum Kurs aus dem Blatt Annahmen.</t>
        </is>
      </c>
    </row>
    <row r="11">
      <c r="B11" s="6" t="inlineStr">
        <is>
          <t>Seefracht je Gerät</t>
        </is>
      </c>
      <c r="C11" s="19">
        <f>Annahmen!$C$7/C9</f>
        <v/>
      </c>
      <c r="D11" s="19">
        <f>Annahmen!$C$7/D9</f>
        <v/>
      </c>
      <c r="E11" s="19">
        <f>Annahmen!$C$7/E9</f>
        <v/>
      </c>
      <c r="F11" s="19">
        <f>Annahmen!$C$7/F9</f>
        <v/>
      </c>
      <c r="G11" s="8" t="inlineStr">
        <is>
          <t>Containerfracht geteilt durch die Stückzahl.</t>
        </is>
      </c>
    </row>
    <row r="12">
      <c r="B12" s="6" t="inlineStr">
        <is>
          <t>Zoll je Gerät</t>
        </is>
      </c>
      <c r="C12" s="19">
        <f>(C10+C11)*Annahmen!$C$8</f>
        <v/>
      </c>
      <c r="D12" s="19">
        <f>(D10+D11)*Annahmen!$C$8</f>
        <v/>
      </c>
      <c r="E12" s="19">
        <f>(E10+E11)*Annahmen!$C$8</f>
        <v/>
      </c>
      <c r="F12" s="19">
        <f>(F10+F11)*Annahmen!$C$8</f>
        <v/>
      </c>
      <c r="G12" s="8" t="inlineStr">
        <is>
          <t>Auf Warenwert plus Fracht.</t>
        </is>
      </c>
    </row>
    <row r="13">
      <c r="B13" s="6" t="inlineStr">
        <is>
          <t>Entsorgung und Verpackung je Gerät</t>
        </is>
      </c>
      <c r="C13" s="19">
        <f>Annahmen!$C$9</f>
        <v/>
      </c>
      <c r="D13" s="19">
        <f>Annahmen!$C$9</f>
        <v/>
      </c>
      <c r="E13" s="19">
        <f>Annahmen!$C$9</f>
        <v/>
      </c>
      <c r="F13" s="19">
        <f>Annahmen!$C$9</f>
        <v/>
      </c>
      <c r="G13" s="8" t="inlineStr">
        <is>
          <t>WEEE, duales System, Batteriegesetz.</t>
        </is>
      </c>
    </row>
    <row r="14">
      <c r="B14" s="6" t="inlineStr">
        <is>
          <t>Einmalkosten je Gerät</t>
        </is>
      </c>
      <c r="C14" s="19">
        <f>Annahmen!$C$10/C9</f>
        <v/>
      </c>
      <c r="D14" s="19">
        <f>Annahmen!$C$10/D9</f>
        <v/>
      </c>
      <c r="E14" s="19">
        <f>Annahmen!$C$10/E9</f>
        <v/>
      </c>
      <c r="F14" s="19">
        <f>Annahmen!$C$10/F9</f>
        <v/>
      </c>
      <c r="G14" s="8" t="inlineStr">
        <is>
          <t>Zertifizierung und Muster, verteilt auf die erste Containerladung.</t>
        </is>
      </c>
    </row>
    <row r="15">
      <c r="B15" s="20" t="inlineStr">
        <is>
          <t>Landepreis je Gerät</t>
        </is>
      </c>
      <c r="C15" s="21">
        <f>SUM(C10:C14)</f>
        <v/>
      </c>
      <c r="D15" s="21">
        <f>SUM(D10:D14)</f>
        <v/>
      </c>
      <c r="E15" s="21">
        <f>SUM(E10:E14)</f>
        <v/>
      </c>
      <c r="F15" s="21">
        <f>SUM(F10:F14)</f>
        <v/>
      </c>
      <c r="G15" s="8" t="inlineStr">
        <is>
          <t>Ihr echter Einkaufspreis, wenn das Gerät im Lager steht.</t>
        </is>
      </c>
    </row>
    <row r="17">
      <c r="B17" s="16" t="inlineStr">
        <is>
          <t>VERKAUF</t>
        </is>
      </c>
    </row>
    <row r="18">
      <c r="B18" s="6" t="inlineStr">
        <is>
          <t>Ihr Verkaufspreis (brutto)</t>
        </is>
      </c>
      <c r="C18" s="22" t="n">
        <v>549</v>
      </c>
      <c r="D18" s="22" t="n">
        <v>649</v>
      </c>
      <c r="E18" s="22" t="n">
        <v>649</v>
      </c>
      <c r="F18" s="22" t="n">
        <v>749</v>
      </c>
      <c r="G18" s="8" t="inlineStr">
        <is>
          <t>Preis auf der Website, inklusive Mehrwertsteuer.</t>
        </is>
      </c>
    </row>
    <row r="19">
      <c r="B19" s="6" t="inlineStr">
        <is>
          <t>Vergleichspreis Wettbewerb (brutto)</t>
        </is>
      </c>
      <c r="C19" s="9" t="n">
        <v>449</v>
      </c>
      <c r="D19" s="9" t="n">
        <v>549</v>
      </c>
      <c r="E19" s="9" t="n">
        <v>477</v>
      </c>
      <c r="F19" s="9" t="n">
        <v>570</v>
      </c>
      <c r="G19" s="8" t="inlineStr">
        <is>
          <t>Recherchierte Marktpreise, siehe Blatt Marktpreise.</t>
        </is>
      </c>
    </row>
    <row r="20">
      <c r="B20" s="6" t="inlineStr">
        <is>
          <t>Abstand zum Wettbewerb</t>
        </is>
      </c>
      <c r="C20" s="23">
        <f>IF(C19=0,0,C18/C19-1)</f>
        <v/>
      </c>
      <c r="D20" s="23">
        <f>IF(D19=0,0,D18/D19-1)</f>
        <v/>
      </c>
      <c r="E20" s="23">
        <f>IF(E19=0,0,E18/E19-1)</f>
        <v/>
      </c>
      <c r="F20" s="23">
        <f>IF(F19=0,0,F18/F19-1)</f>
        <v/>
      </c>
      <c r="G20" s="8" t="inlineStr">
        <is>
          <t>Positiv heißt: Sie sind teurer. Das muss ein Argument rechtfertigen.</t>
        </is>
      </c>
    </row>
    <row r="21">
      <c r="B21" s="6" t="inlineStr">
        <is>
          <t>Nettoumsatz je Gerät</t>
        </is>
      </c>
      <c r="C21" s="19">
        <f>C18/(1+Annahmen!$C$13)</f>
        <v/>
      </c>
      <c r="D21" s="19">
        <f>D18/(1+Annahmen!$C$13)</f>
        <v/>
      </c>
      <c r="E21" s="19">
        <f>E18/(1+Annahmen!$C$13)</f>
        <v/>
      </c>
      <c r="F21" s="19">
        <f>F18/(1+Annahmen!$C$13)</f>
        <v/>
      </c>
      <c r="G21" s="8" t="inlineStr">
        <is>
          <t>Was nach Abzug der Mehrwertsteuer bei Ihnen ankommt.</t>
        </is>
      </c>
    </row>
    <row r="23">
      <c r="B23" s="16" t="inlineStr">
        <is>
          <t>WAS VOM VERKAUFSPREIS ABGEHT</t>
        </is>
      </c>
    </row>
    <row r="24">
      <c r="B24" s="6" t="inlineStr">
        <is>
          <t>Landepreis (Wareneinsatz)</t>
        </is>
      </c>
      <c r="C24" s="24">
        <f>C15</f>
        <v/>
      </c>
      <c r="D24" s="24">
        <f>D15</f>
        <v/>
      </c>
      <c r="E24" s="24">
        <f>E15</f>
        <v/>
      </c>
      <c r="F24" s="24">
        <f>F15</f>
        <v/>
      </c>
      <c r="G24" s="8" t="inlineStr">
        <is>
          <t>Aus dem Abschnitt Einkauf.</t>
        </is>
      </c>
    </row>
    <row r="25">
      <c r="B25" s="6" t="inlineStr">
        <is>
          <t>Zahlungsgebühr</t>
        </is>
      </c>
      <c r="C25" s="19">
        <f>C18*Annahmen!$C$14</f>
        <v/>
      </c>
      <c r="D25" s="19">
        <f>D18*Annahmen!$C$14</f>
        <v/>
      </c>
      <c r="E25" s="19">
        <f>E18*Annahmen!$C$14</f>
        <v/>
      </c>
      <c r="F25" s="19">
        <f>F18*Annahmen!$C$14</f>
        <v/>
      </c>
      <c r="G25" s="8" t="inlineStr">
        <is>
          <t>Stripe, PayPal, Klarna. Wird auf den Bruttobetrag berechnet.</t>
        </is>
      </c>
    </row>
    <row r="26">
      <c r="B26" s="6" t="inlineStr">
        <is>
          <t>Versandkosten, die Sie tragen</t>
        </is>
      </c>
      <c r="C26" s="19">
        <f>IF(C18&gt;=Annahmen!$C$16,Annahmen!$C$15,0)</f>
        <v/>
      </c>
      <c r="D26" s="19">
        <f>IF(D18&gt;=Annahmen!$C$16,Annahmen!$C$15,0)</f>
        <v/>
      </c>
      <c r="E26" s="19">
        <f>IF(E18&gt;=Annahmen!$C$16,Annahmen!$C$15,0)</f>
        <v/>
      </c>
      <c r="F26" s="19">
        <f>IF(F18&gt;=Annahmen!$C$16,Annahmen!$C$15,0)</f>
        <v/>
      </c>
      <c r="G26" s="8" t="inlineStr">
        <is>
          <t>Ab der Freigrenze zahlen Sie den Versand. Das ist echtes Geld.</t>
        </is>
      </c>
    </row>
    <row r="27">
      <c r="B27" s="6" t="inlineStr">
        <is>
          <t>Retourenrisiko</t>
        </is>
      </c>
      <c r="C27" s="19">
        <f>Annahmen!$C$19*(C15*Annahmen!$C$20+Annahmen!$C$15*2)</f>
        <v/>
      </c>
      <c r="D27" s="19">
        <f>Annahmen!$C$19*(D15*Annahmen!$C$20+Annahmen!$C$15*2)</f>
        <v/>
      </c>
      <c r="E27" s="19">
        <f>Annahmen!$C$19*(E15*Annahmen!$C$20+Annahmen!$C$15*2)</f>
        <v/>
      </c>
      <c r="F27" s="19">
        <f>Annahmen!$C$19*(F15*Annahmen!$C$20+Annahmen!$C$15*2)</f>
        <v/>
      </c>
      <c r="G27" s="8" t="inlineStr">
        <is>
          <t>Quote × (Wertverlust am Gerät + Hin- und Rückversand).</t>
        </is>
      </c>
    </row>
    <row r="28">
      <c r="B28" s="6" t="inlineStr">
        <is>
          <t>Rückstellung Gewährleistung</t>
        </is>
      </c>
      <c r="C28" s="19">
        <f>C21*Annahmen!$C$21</f>
        <v/>
      </c>
      <c r="D28" s="19">
        <f>D21*Annahmen!$C$21</f>
        <v/>
      </c>
      <c r="E28" s="19">
        <f>E21*Annahmen!$C$21</f>
        <v/>
      </c>
      <c r="F28" s="19">
        <f>F21*Annahmen!$C$21</f>
        <v/>
      </c>
      <c r="G28" s="8" t="inlineStr">
        <is>
          <t>Für Reparaturen und Austauschgeräte im zweiten Jahr.</t>
        </is>
      </c>
    </row>
    <row r="30">
      <c r="B30" s="25" t="inlineStr">
        <is>
          <t>Deckungsbeitrag je Gerät</t>
        </is>
      </c>
      <c r="C30" s="26">
        <f>C21-C24-C25-C26-C27-C28</f>
        <v/>
      </c>
      <c r="D30" s="26">
        <f>D21-D24-D25-D26-D27-D28</f>
        <v/>
      </c>
      <c r="E30" s="26">
        <f>E21-E24-E25-E26-E27-E28</f>
        <v/>
      </c>
      <c r="F30" s="26">
        <f>F21-F24-F25-F26-F27-F28</f>
        <v/>
      </c>
      <c r="G30" s="8" t="inlineStr">
        <is>
          <t>Was übrig bleibt. Davon zahlen Sie Lager, Werbung, Versicherung und sich selbst.</t>
        </is>
      </c>
    </row>
    <row r="31">
      <c r="B31" s="27" t="inlineStr">
        <is>
          <t>Marge (vom Nettoumsatz)</t>
        </is>
      </c>
      <c r="C31" s="28">
        <f>IF(C21=0,0,C30/C21)</f>
        <v/>
      </c>
      <c r="D31" s="28">
        <f>IF(D21=0,0,D30/D21)</f>
        <v/>
      </c>
      <c r="E31" s="28">
        <f>IF(E21=0,0,E30/E21)</f>
        <v/>
      </c>
      <c r="F31" s="28">
        <f>IF(F21=0,0,F30/F21)</f>
        <v/>
      </c>
      <c r="G31" s="8" t="inlineStr">
        <is>
          <t>Unter 30 % wird es im Onlinehandel eng, über 45 % ist gut.</t>
        </is>
      </c>
    </row>
    <row r="32">
      <c r="B32" s="6" t="inlineStr">
        <is>
          <t>Aufschlagsfaktor auf den Landepreis</t>
        </is>
      </c>
      <c r="C32" s="29">
        <f>IF(C15=0,0,C18/C15)</f>
        <v/>
      </c>
      <c r="D32" s="29">
        <f>IF(D15=0,0,D18/D15)</f>
        <v/>
      </c>
      <c r="E32" s="29">
        <f>IF(E15=0,0,E18/E15)</f>
        <v/>
      </c>
      <c r="F32" s="29">
        <f>IF(F15=0,0,F18/F15)</f>
        <v/>
      </c>
      <c r="G32" s="8" t="inlineStr">
        <is>
          <t>Im Elektrohandel sind 2,5× bis 3,5× auf den Landepreis üblich.</t>
        </is>
      </c>
    </row>
    <row r="33">
      <c r="B33" s="6" t="inlineStr">
        <is>
          <t>Niedrigster Verkaufspreis ohne Verlust (brutto)</t>
        </is>
      </c>
      <c r="C33" s="30">
        <f>(C24+C26+C27)*(1+Annahmen!$C$13)/((1-Annahmen!$C$21)-Annahmen!$C$14*(1+Annahmen!$C$13))</f>
        <v/>
      </c>
      <c r="D33" s="30">
        <f>(D24+D26+D27)*(1+Annahmen!$C$13)/((1-Annahmen!$C$21)-Annahmen!$C$14*(1+Annahmen!$C$13))</f>
        <v/>
      </c>
      <c r="E33" s="30">
        <f>(E24+E26+E27)*(1+Annahmen!$C$13)/((1-Annahmen!$C$21)-Annahmen!$C$14*(1+Annahmen!$C$13))</f>
        <v/>
      </c>
      <c r="F33" s="30">
        <f>(F24+F26+F27)*(1+Annahmen!$C$13)/((1-Annahmen!$C$21)-Annahmen!$C$14*(1+Annahmen!$C$13))</f>
        <v/>
      </c>
      <c r="G33" s="8" t="inlineStr">
        <is>
          <t>Darunter legen Sie bei jedem Gerät drauf. Versandkosten wie beim aktuellen Preis angesetzt.</t>
        </is>
      </c>
    </row>
    <row r="35">
      <c r="B35" s="12" t="inlineStr">
        <is>
          <t>Lesehilfe</t>
        </is>
      </c>
    </row>
    <row r="36">
      <c r="B36" s="13" t="inlineStr">
        <is>
          <t>Der Aufschlagsfaktor ist die Zahl, die Händler im Kopf haben. Verkaufspreis geteilt durch Landepreis. Unter 2,5 verdienen Sie im Onlinehandel nach Werbung und Retouren meist nichts mehr, weil Zahlungsgebühr, Versand und Rückstellungen den Rest fressen.</t>
        </is>
      </c>
    </row>
    <row r="37"/>
    <row r="38"/>
  </sheetData>
  <mergeCells count="1">
    <mergeCell ref="B36:G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34"/>
  <sheetViews>
    <sheetView showGridLines="0" workbookViewId="0">
      <selection activeCell="A1" sqref="A1"/>
    </sheetView>
  </sheetViews>
  <sheetFormatPr baseColWidth="8" defaultRowHeight="15"/>
  <cols>
    <col width="3" customWidth="1" min="1" max="1"/>
    <col width="46" customWidth="1" min="2" max="2"/>
    <col width="16" customWidth="1" min="3" max="3"/>
    <col width="58" customWidth="1" min="4" max="4"/>
  </cols>
  <sheetData>
    <row r="2">
      <c r="B2" s="1" t="inlineStr">
        <is>
          <t>Was eine Erstbestellung kostet</t>
        </is>
      </c>
    </row>
    <row r="3">
      <c r="B3" s="2" t="inlineStr">
        <is>
          <t>Beispiel für ein Modell. Wählen Sie über die blaue Zelle, welches.</t>
        </is>
      </c>
    </row>
    <row r="5">
      <c r="B5" s="5" t="inlineStr">
        <is>
          <t>Bestellung</t>
        </is>
      </c>
      <c r="C5" s="5" t="inlineStr">
        <is>
          <t>Wert</t>
        </is>
      </c>
      <c r="D5" s="5" t="inlineStr">
        <is>
          <t>Erläuterung</t>
        </is>
      </c>
    </row>
    <row r="6">
      <c r="B6" s="3" t="inlineStr">
        <is>
          <t>Welches Modell? (1 bis 4)</t>
        </is>
      </c>
      <c r="C6" s="31" t="n">
        <v>2</v>
      </c>
      <c r="D6" s="2" t="inlineStr">
        <is>
          <t>1 = Zweikanal 9k · 2 = Zweikanal 12k · 3 = Quick-Connect 9k · 4 = Quick-Connect 12k</t>
        </is>
      </c>
    </row>
    <row r="7">
      <c r="B7" s="6" t="inlineStr">
        <is>
          <t>Stück je Container</t>
        </is>
      </c>
      <c r="C7" s="32">
        <f>INDEX(Kalkulation!$C$9:$F$9,1,$C$6)</f>
        <v/>
      </c>
      <c r="D7" s="8" t="inlineStr">
        <is>
          <t>Aus der Kalkulation.</t>
        </is>
      </c>
    </row>
    <row r="8">
      <c r="B8" s="6" t="inlineStr">
        <is>
          <t>Landepreis je Gerät</t>
        </is>
      </c>
      <c r="C8" s="19">
        <f>INDEX(Kalkulation!$C$15:$F$15,1,$C$6)</f>
        <v/>
      </c>
      <c r="D8" s="8" t="inlineStr">
        <is>
          <t>Aus der Kalkulation.</t>
        </is>
      </c>
    </row>
    <row r="9">
      <c r="B9" s="6" t="inlineStr">
        <is>
          <t>Verkaufspreis brutto</t>
        </is>
      </c>
      <c r="C9" s="30">
        <f>INDEX(Kalkulation!$C$18:$F$18,1,$C$6)</f>
        <v/>
      </c>
      <c r="D9" s="8" t="inlineStr">
        <is>
          <t>Aus der Kalkulation.</t>
        </is>
      </c>
    </row>
    <row r="10">
      <c r="B10" s="6" t="inlineStr">
        <is>
          <t>Deckungsbeitrag je Gerät</t>
        </is>
      </c>
      <c r="C10" s="19">
        <f>INDEX(Kalkulation!$C$30:$F$30,1,$C$6)</f>
        <v/>
      </c>
      <c r="D10" s="8" t="inlineStr">
        <is>
          <t>Aus der Kalkulation.</t>
        </is>
      </c>
    </row>
    <row r="12">
      <c r="B12" s="5" t="inlineStr">
        <is>
          <t>Kapitalbedarf</t>
        </is>
      </c>
      <c r="C12" s="5" t="inlineStr">
        <is>
          <t>Wert</t>
        </is>
      </c>
      <c r="D12" s="5" t="inlineStr">
        <is>
          <t>Erläuterung</t>
        </is>
      </c>
    </row>
    <row r="13">
      <c r="B13" s="6" t="inlineStr">
        <is>
          <t>Wareneinsatz (FOB gesamt)</t>
        </is>
      </c>
      <c r="C13" s="30">
        <f>INDEX(Kalkulation!$C$10:$F$10,1,$C$6)*C7</f>
        <v/>
      </c>
      <c r="D13" s="8" t="inlineStr">
        <is>
          <t>Das zahlen Sie der Fabrik, meist 30 % im Voraus.</t>
        </is>
      </c>
    </row>
    <row r="14">
      <c r="B14" s="6" t="inlineStr">
        <is>
          <t>Seefracht</t>
        </is>
      </c>
      <c r="C14" s="30">
        <f>Annahmen!C7</f>
        <v/>
      </c>
      <c r="D14" s="8" t="inlineStr">
        <is>
          <t>Ein Container.</t>
        </is>
      </c>
    </row>
    <row r="15">
      <c r="B15" s="6" t="inlineStr">
        <is>
          <t>Zoll</t>
        </is>
      </c>
      <c r="C15" s="30">
        <f>(C13+C14)*Annahmen!C8</f>
        <v/>
      </c>
      <c r="D15" s="8" t="inlineStr">
        <is>
          <t>Auf Warenwert plus Fracht.</t>
        </is>
      </c>
    </row>
    <row r="16">
      <c r="B16" s="6" t="inlineStr">
        <is>
          <t>Einmalkosten Zertifizierung</t>
        </is>
      </c>
      <c r="C16" s="30">
        <f>Annahmen!C10</f>
        <v/>
      </c>
      <c r="D16" s="8" t="inlineStr">
        <is>
          <t>Fällt nur beim ersten Container je Modell an.</t>
        </is>
      </c>
    </row>
    <row r="17">
      <c r="B17" s="6" t="inlineStr">
        <is>
          <t>Entsorgungs- und Verpackungsgebühren</t>
        </is>
      </c>
      <c r="C17" s="30">
        <f>Annahmen!C9*C7</f>
        <v/>
      </c>
      <c r="D17" s="8" t="inlineStr">
        <is>
          <t>Für die ganze Menge.</t>
        </is>
      </c>
    </row>
    <row r="18">
      <c r="B18" s="20" t="inlineStr">
        <is>
          <t>Gebundenes Kapital</t>
        </is>
      </c>
      <c r="C18" s="33">
        <f>SUM(C13:C17)</f>
        <v/>
      </c>
      <c r="D18" s="8" t="inlineStr">
        <is>
          <t>So viel Geld liegt im Lager, bevor Sie den ersten Euro einnehmen.</t>
        </is>
      </c>
    </row>
    <row r="19">
      <c r="B19" s="6" t="inlineStr">
        <is>
          <t>Einfuhrumsatzsteuer (nur Liquidität)</t>
        </is>
      </c>
      <c r="C19" s="30">
        <f>(C13+C14+C15)*Annahmen!C13</f>
        <v/>
      </c>
      <c r="D19" s="8" t="inlineStr">
        <is>
          <t>Zahlen Sie beim Import, holen Sie als Vorsteuer zurück. Kein Kostenfaktor, aber Sie brauchen das Geld zwischenzeitlich.</t>
        </is>
      </c>
    </row>
    <row r="21">
      <c r="B21" s="5" t="inlineStr">
        <is>
          <t>Ergebnis, wenn alles verkauft wird</t>
        </is>
      </c>
      <c r="C21" s="5" t="inlineStr">
        <is>
          <t>Wert</t>
        </is>
      </c>
      <c r="D21" s="5" t="inlineStr">
        <is>
          <t>Erläuterung</t>
        </is>
      </c>
    </row>
    <row r="22">
      <c r="B22" s="6" t="inlineStr">
        <is>
          <t>Umsatz brutto</t>
        </is>
      </c>
      <c r="C22" s="30">
        <f>C9*C7</f>
        <v/>
      </c>
      <c r="D22" s="8" t="inlineStr">
        <is>
          <t>Bei 100 % Verkaufsquote.</t>
        </is>
      </c>
    </row>
    <row r="23">
      <c r="B23" s="25" t="inlineStr">
        <is>
          <t>Deckungsbeitrag gesamt</t>
        </is>
      </c>
      <c r="C23" s="34">
        <f>C10*C7</f>
        <v/>
      </c>
      <c r="D23" s="8" t="inlineStr">
        <is>
          <t>Vor Lager, Werbung, Versicherung und Steuern.</t>
        </is>
      </c>
    </row>
    <row r="25">
      <c r="B25" s="5" t="inlineStr">
        <is>
          <t>Ab wann lohnt es sich</t>
        </is>
      </c>
      <c r="C25" s="5" t="inlineStr">
        <is>
          <t>Wert</t>
        </is>
      </c>
      <c r="D25" s="5" t="inlineStr">
        <is>
          <t>Erläuterung</t>
        </is>
      </c>
    </row>
    <row r="26">
      <c r="B26" s="6" t="inlineStr">
        <is>
          <t>Geldrückfluss je verkauftem Gerät</t>
        </is>
      </c>
      <c r="C26" s="19">
        <f>C10+C8</f>
        <v/>
      </c>
      <c r="D26" s="8" t="inlineStr">
        <is>
          <t>Deckungsbeitrag plus Wareneinsatz — der Wareneinsatz steckt schon im gebundenen Kapital und darf hier nicht doppelt abgezogen werden.</t>
        </is>
      </c>
    </row>
    <row r="27">
      <c r="B27" s="27" t="inlineStr">
        <is>
          <t>Stückzahl für Kostendeckung</t>
        </is>
      </c>
      <c r="C27" s="35">
        <f>IF(C26=0,0,C18/C26)</f>
        <v/>
      </c>
      <c r="D27" s="8" t="inlineStr">
        <is>
          <t>So viele Geräte müssen verkauft sein, bis das eingesetzte Geld wieder da ist.</t>
        </is>
      </c>
    </row>
    <row r="28">
      <c r="B28" s="25" t="inlineStr">
        <is>
          <t>Das entspricht einer Verkaufsquote von</t>
        </is>
      </c>
      <c r="C28" s="36">
        <f>IF(C7=0,0,C27/C7)</f>
        <v/>
      </c>
      <c r="D28" s="8" t="inlineStr">
        <is>
          <t>Bezogen auf die Containermenge.</t>
        </is>
      </c>
    </row>
    <row r="29">
      <c r="B29" s="27" t="inlineStr">
        <is>
          <t>Ergebnis bei 70 % Verkaufsquote</t>
        </is>
      </c>
      <c r="C29" s="37">
        <f>C10*C7*0.7-Annahmen!C10*0.3</f>
        <v/>
      </c>
      <c r="D29" s="8" t="inlineStr">
        <is>
          <t>Deckungsbeitrag aus 70 % der Menge. Die Einmalkosten für die unverkauften 30 % sind noch nicht wieder eingespielt und daher abgezogen. Der Wareneinsatz der Restmenge bleibt als Lagerwert erhalten.</t>
        </is>
      </c>
    </row>
    <row r="31">
      <c r="B31" s="12" t="inlineStr">
        <is>
          <t>Was diese Rechnung nicht enthält</t>
        </is>
      </c>
    </row>
    <row r="32">
      <c r="B32" s="13" t="inlineStr">
        <is>
          <t>Lagermiete, Werbung, Ihre Arbeitszeit, Versicherung, Steuerberatung, Einkommensteuer. Und den Fall, dass der Sommer 2027 kühl wird und die Hälfte des Containers ein Jahr länger steht. Rechnen Sie mit der 70-Prozent-Zeile, nicht mit der 100-Prozent-Zeile.</t>
        </is>
      </c>
    </row>
    <row r="33"/>
    <row r="34"/>
  </sheetData>
  <mergeCells count="1">
    <mergeCell ref="B32:D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30"/>
  <sheetViews>
    <sheetView showGridLines="0" workbookViewId="0">
      <selection activeCell="A1" sqref="A1"/>
    </sheetView>
  </sheetViews>
  <sheetFormatPr baseColWidth="8" defaultRowHeight="15"/>
  <cols>
    <col width="3" customWidth="1" min="1" max="1"/>
    <col width="40" customWidth="1" min="2" max="2"/>
    <col width="15" customWidth="1" min="3" max="3"/>
    <col width="20" customWidth="1" min="4" max="4"/>
    <col width="52" customWidth="1" min="5" max="5"/>
  </cols>
  <sheetData>
    <row r="2">
      <c r="B2" s="1" t="inlineStr">
        <is>
          <t>Was der Markt verlangt</t>
        </is>
      </c>
    </row>
    <row r="3">
      <c r="B3" s="2" t="inlineStr">
        <is>
          <t>Recherchiert am 31.08.2026. Preise ändern sich — vor der Preisfestsetzung nachprüfen.</t>
        </is>
      </c>
    </row>
    <row r="5">
      <c r="B5" s="14" t="inlineStr">
        <is>
          <t>Produkt</t>
        </is>
      </c>
      <c r="C5" s="14" t="inlineStr">
        <is>
          <t>Preis</t>
        </is>
      </c>
      <c r="D5" s="14" t="inlineStr">
        <is>
          <t>Anbieter</t>
        </is>
      </c>
      <c r="E5" s="14" t="inlineStr">
        <is>
          <t>Quelle / Anmerkung</t>
        </is>
      </c>
    </row>
    <row r="6">
      <c r="B6" s="16" t="inlineStr">
        <is>
          <t>GERÄTE OHNE MONTAGE</t>
        </is>
      </c>
    </row>
    <row r="7">
      <c r="B7" s="6" t="inlineStr">
        <is>
          <t>Mobiles Klimagerät 12.000 BTU, bis 48 m²</t>
        </is>
      </c>
      <c r="C7" s="30" t="n">
        <v>449</v>
      </c>
      <c r="D7" s="6" t="inlineStr">
        <is>
          <t>MediaMarkt</t>
        </is>
      </c>
      <c r="E7" s="8" t="inlineStr">
        <is>
          <t>Einschlauchgerät, Standardware im Elektrohandel</t>
        </is>
      </c>
    </row>
    <row r="8">
      <c r="B8" s="6" t="inlineStr">
        <is>
          <t>Testsieger-Klasse Stiftung Warentest</t>
        </is>
      </c>
      <c r="C8" s="30" t="n">
        <v>400</v>
      </c>
      <c r="D8" s="6" t="inlineStr">
        <is>
          <t>Handel allgemein</t>
        </is>
      </c>
      <c r="E8" s="8" t="inlineStr">
        <is>
          <t>Spanne der gut bewerteten Geräte: rund 300 bis 500 €</t>
        </is>
      </c>
    </row>
    <row r="9">
      <c r="B9" s="6" t="inlineStr">
        <is>
          <t>De'Longhi Pinguino PAC EX Serie</t>
        </is>
      </c>
      <c r="C9" s="30" t="n">
        <v>600</v>
      </c>
      <c r="D9" s="6" t="inlineStr">
        <is>
          <t>Fachhandel</t>
        </is>
      </c>
      <c r="E9" s="8" t="inlineStr">
        <is>
          <t>Zweischlauch-Premium, je nach Modell 500 bis 800 €</t>
        </is>
      </c>
    </row>
    <row r="11">
      <c r="B11" s="16" t="inlineStr">
        <is>
          <t>SELBSTMONTAGE MIT AUSSENGERÄT</t>
        </is>
      </c>
    </row>
    <row r="12">
      <c r="B12" s="6" t="inlineStr">
        <is>
          <t>Heiko 12.000 BTU R32 Split</t>
        </is>
      </c>
      <c r="C12" s="30" t="n">
        <v>477</v>
      </c>
      <c r="D12" s="6" t="inlineStr">
        <is>
          <t>eBay</t>
        </is>
      </c>
      <c r="E12" s="8" t="inlineStr">
        <is>
          <t>inklusive Versand</t>
        </is>
      </c>
    </row>
    <row r="13">
      <c r="B13" s="6" t="inlineStr">
        <is>
          <t>BeCool BC12SK2101QW Quick Connect</t>
        </is>
      </c>
      <c r="C13" s="30" t="n">
        <v>570</v>
      </c>
      <c r="D13" s="6" t="inlineStr">
        <is>
          <t>eBay</t>
        </is>
      </c>
      <c r="E13" s="8" t="inlineStr">
        <is>
          <t>zuzüglich 23,99 € Versand, A++, R32 vorgefüllt</t>
        </is>
      </c>
    </row>
    <row r="14">
      <c r="B14" s="6" t="inlineStr">
        <is>
          <t>DANYON XA35QC Quick Connect 12.000 BTU</t>
        </is>
      </c>
      <c r="C14" s="8" t="inlineStr">
        <is>
          <t>k. A.</t>
        </is>
      </c>
      <c r="D14" s="6" t="inlineStr">
        <is>
          <t>danyon.de</t>
        </is>
      </c>
      <c r="E14" s="8" t="inlineStr">
        <is>
          <t>mit 5-m-Montageset; Anbieter positioniert es für den Fachbetrieb</t>
        </is>
      </c>
    </row>
    <row r="15">
      <c r="B15" s="6" t="inlineStr">
        <is>
          <t>Weitere Anbieter im deutschen Markt</t>
        </is>
      </c>
      <c r="C15" s="8" t="inlineStr">
        <is>
          <t>k. A.</t>
        </is>
      </c>
      <c r="D15" s="6" t="inlineStr">
        <is>
          <t>Kältebringer, KlimaWorld, environ</t>
        </is>
      </c>
      <c r="E15" s="8" t="inlineStr">
        <is>
          <t>Die Nische ist bereits besetzt — siehe Anmerkung unten</t>
        </is>
      </c>
    </row>
    <row r="17">
      <c r="B17" s="38" t="inlineStr">
        <is>
          <t>Die wichtigste Erkenntnis aus dieser Recherche</t>
        </is>
      </c>
    </row>
    <row r="18">
      <c r="B18" s="39" t="inlineStr">
        <is>
          <t>Die beiden Produktlinien stehen in völlig unterschiedlichen Märkten.
Selbstmontage mit Außengerät: Hier gibt es in Deutschland bereits DANYON, BeCool, Kältebringer, KlimaWorld und environ, mit Preisen zwischen 477 und 570 € für 12.000 BTU. Der Preis auf Ihrer Website liegt darüber. In diesen Markt kommen Sie nur über den Preis hinein — und Preiskampf gegen eingeführte Anbieter ist als Neueinsteiger die schlechteste aller Ausgangslagen.
Geräte ohne Montage: Der Markt ist groß, aber fast vollständig mit Einschlauchgeräten besetzt (MediaMarkt 449 € für 12.000 BTU). Zweischlauchgeräte gibt es fast nur von De'Longhi im Premiumbereich. Dazwischen ist Platz — und Sie haben ein technisches Argument, das stimmt und das der Kunde versteht.
Empfehlung: Starten Sie mit einer Linie, nicht mit zweien. Die ohne Montage.</t>
        </is>
      </c>
    </row>
    <row r="19"/>
    <row r="20"/>
    <row r="21"/>
    <row r="22"/>
    <row r="23"/>
    <row r="24"/>
    <row r="25"/>
    <row r="26"/>
    <row r="27"/>
    <row r="28"/>
    <row r="29"/>
    <row r="30"/>
  </sheetData>
  <mergeCells count="1">
    <mergeCell ref="B18:E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2026-09-01T08:31:03Z</dcterms:created>
  <dcterms:modified xsi:type="dcterms:W3CDTF">2026-09-01T08:31:03Z</dcterms:modified>
</cp:coreProperties>
</file>